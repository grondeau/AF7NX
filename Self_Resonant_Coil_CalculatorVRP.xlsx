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14" yWindow="549" windowWidth="20794" windowHeight="9471"/>
  </bookViews>
  <sheets>
    <sheet name="Sheet1" sheetId="2" r:id="rId1"/>
  </sheets>
  <definedNames>
    <definedName name="Cable_O.D.">Sheet1!$H$10</definedName>
    <definedName name="Cable_OD">#REF!</definedName>
    <definedName name="Cable_Vf">#REF!</definedName>
    <definedName name="ei">Sheet1!$F$10</definedName>
    <definedName name="ex">Sheet1!$D$10</definedName>
    <definedName name="Jacket_Vf">#REF!</definedName>
    <definedName name="lambda">Sheet1!$K$10</definedName>
    <definedName name="long">#REF!</definedName>
    <definedName name="Loss_tan.">Sheet1!$B$10</definedName>
    <definedName name="Lw_lambda">#REF!</definedName>
    <definedName name="Med">#REF!</definedName>
    <definedName name="short">#REF!</definedName>
  </definedNames>
  <calcPr calcId="124519"/>
  <extLst>
    <ext uri="GoogleSheetsCustomDataVersion1">
      <go:sheetsCustomData xmlns:go="http://customooxmlschemas.google.com/" r:id="rId6" roundtripDataSignature="AMtx7mi3kCsdygSNHDLGUw3owIqduEMd4A=="/>
    </ext>
  </extLst>
</workbook>
</file>

<file path=xl/calcChain.xml><?xml version="1.0" encoding="utf-8"?>
<calcChain xmlns="http://schemas.openxmlformats.org/spreadsheetml/2006/main">
  <c r="B28" i="2"/>
  <c r="R28"/>
  <c r="Q28"/>
  <c r="P28" s="1"/>
  <c r="B27"/>
  <c r="R27"/>
  <c r="Q27"/>
  <c r="P27" s="1"/>
  <c r="B26"/>
  <c r="R26"/>
  <c r="Q26"/>
  <c r="B25"/>
  <c r="R25"/>
  <c r="Q25"/>
  <c r="B24"/>
  <c r="R24"/>
  <c r="Q24"/>
  <c r="P24" s="1"/>
  <c r="B23"/>
  <c r="R23"/>
  <c r="Q23"/>
  <c r="P23" s="1"/>
  <c r="B22"/>
  <c r="R22"/>
  <c r="Q22"/>
  <c r="B21"/>
  <c r="R21"/>
  <c r="Q21"/>
  <c r="P21" s="1"/>
  <c r="B20"/>
  <c r="R20"/>
  <c r="Q20"/>
  <c r="P20" s="1"/>
  <c r="C20" s="1"/>
  <c r="B19"/>
  <c r="R19"/>
  <c r="Q19"/>
  <c r="B18"/>
  <c r="R18"/>
  <c r="Q18"/>
  <c r="B17"/>
  <c r="R17"/>
  <c r="Q17"/>
  <c r="B16"/>
  <c r="R16"/>
  <c r="Q16"/>
  <c r="P16" s="1"/>
  <c r="C16" s="1"/>
  <c r="B15"/>
  <c r="R15"/>
  <c r="Q15"/>
  <c r="B14"/>
  <c r="R14"/>
  <c r="Q14"/>
  <c r="N10"/>
  <c r="E28" l="1"/>
  <c r="E23"/>
  <c r="D23" s="1"/>
  <c r="E20"/>
  <c r="D20" s="1"/>
  <c r="E21"/>
  <c r="D21" s="1"/>
  <c r="P25"/>
  <c r="E25" s="1"/>
  <c r="D25" s="1"/>
  <c r="E27"/>
  <c r="D27" s="1"/>
  <c r="E24"/>
  <c r="D24" s="1"/>
  <c r="D28"/>
  <c r="D16"/>
  <c r="P17"/>
  <c r="C17" s="1"/>
  <c r="P22"/>
  <c r="E22" s="1"/>
  <c r="P26"/>
  <c r="E26" s="1"/>
  <c r="P14"/>
  <c r="C14" s="1"/>
  <c r="P18"/>
  <c r="C18" s="1"/>
  <c r="P15"/>
  <c r="C15" s="1"/>
  <c r="P19"/>
  <c r="C19" s="1"/>
  <c r="D15" l="1"/>
  <c r="D18"/>
  <c r="D26"/>
  <c r="D17"/>
  <c r="D22"/>
  <c r="D19"/>
  <c r="D14"/>
  <c r="I20"/>
  <c r="F20"/>
  <c r="G20" s="1"/>
  <c r="I24"/>
  <c r="F24"/>
  <c r="G24" s="1"/>
  <c r="I25"/>
  <c r="F25"/>
  <c r="G25" s="1"/>
  <c r="I28"/>
  <c r="F28"/>
  <c r="G28" s="1"/>
  <c r="F27"/>
  <c r="G27" s="1"/>
  <c r="I27"/>
  <c r="I16"/>
  <c r="F16"/>
  <c r="G16" s="1"/>
  <c r="F23"/>
  <c r="G23" s="1"/>
  <c r="I23"/>
  <c r="I21"/>
  <c r="F21"/>
  <c r="G21" s="1"/>
  <c r="N21" l="1"/>
  <c r="J21"/>
  <c r="N16"/>
  <c r="J16"/>
  <c r="N28"/>
  <c r="J28"/>
  <c r="N24"/>
  <c r="J24"/>
  <c r="I15"/>
  <c r="F15"/>
  <c r="G15" s="1"/>
  <c r="K28"/>
  <c r="H28"/>
  <c r="F14"/>
  <c r="G14" s="1"/>
  <c r="I14"/>
  <c r="I22"/>
  <c r="F22"/>
  <c r="G22" s="1"/>
  <c r="I26"/>
  <c r="F26"/>
  <c r="G26" s="1"/>
  <c r="H16"/>
  <c r="K16"/>
  <c r="K23"/>
  <c r="H23"/>
  <c r="N20"/>
  <c r="J20"/>
  <c r="I17"/>
  <c r="F17"/>
  <c r="G17" s="1"/>
  <c r="H21"/>
  <c r="K21"/>
  <c r="K24"/>
  <c r="H24"/>
  <c r="K27"/>
  <c r="H27"/>
  <c r="N25"/>
  <c r="J25"/>
  <c r="I19"/>
  <c r="F19"/>
  <c r="G19" s="1"/>
  <c r="N23"/>
  <c r="J23"/>
  <c r="N27"/>
  <c r="J27"/>
  <c r="H25"/>
  <c r="K25"/>
  <c r="K20"/>
  <c r="H20"/>
  <c r="F18"/>
  <c r="G18" s="1"/>
  <c r="I18"/>
  <c r="L28" l="1"/>
  <c r="M28" s="1"/>
  <c r="L27"/>
  <c r="M27" s="1"/>
  <c r="L23"/>
  <c r="M23" s="1"/>
  <c r="L20"/>
  <c r="M20" s="1"/>
  <c r="K18"/>
  <c r="H18"/>
  <c r="N17"/>
  <c r="J17"/>
  <c r="N26"/>
  <c r="J26"/>
  <c r="K14"/>
  <c r="H14"/>
  <c r="N15"/>
  <c r="J15"/>
  <c r="N18"/>
  <c r="J18"/>
  <c r="K17"/>
  <c r="H17"/>
  <c r="K26"/>
  <c r="H26"/>
  <c r="N14"/>
  <c r="J14"/>
  <c r="L21"/>
  <c r="M21" s="1"/>
  <c r="K15"/>
  <c r="H15"/>
  <c r="N19"/>
  <c r="J19"/>
  <c r="N22"/>
  <c r="J22"/>
  <c r="L25"/>
  <c r="M25" s="1"/>
  <c r="K19"/>
  <c r="H19"/>
  <c r="K22"/>
  <c r="H22"/>
  <c r="L24"/>
  <c r="M24" s="1"/>
  <c r="L16"/>
  <c r="M16" s="1"/>
  <c r="L14" l="1"/>
  <c r="M14" s="1"/>
  <c r="L15"/>
  <c r="M15" s="1"/>
  <c r="L26"/>
  <c r="M26" s="1"/>
  <c r="L22"/>
  <c r="M22" s="1"/>
  <c r="L19"/>
  <c r="M19" s="1"/>
  <c r="L18"/>
  <c r="M18" s="1"/>
  <c r="L17"/>
  <c r="M17" s="1"/>
</calcChain>
</file>

<file path=xl/sharedStrings.xml><?xml version="1.0" encoding="utf-8"?>
<sst xmlns="http://schemas.openxmlformats.org/spreadsheetml/2006/main" count="42" uniqueCount="41">
  <si>
    <t>To use the calculator enter the values in the Green Squares for your coil.</t>
  </si>
  <si>
    <t>is the dielectric constant of the winding form - use 1.0 for air.</t>
  </si>
  <si>
    <t>Single Layer Self Resonant Coil Calculator</t>
  </si>
  <si>
    <t xml:space="preserve">Wire Spacing </t>
  </si>
  <si>
    <t>Loss tan.</t>
  </si>
  <si>
    <t>d (mm):</t>
  </si>
  <si>
    <t xml:space="preserve"> (meters)</t>
  </si>
  <si>
    <t>MHz</t>
  </si>
  <si>
    <t>(l/D)^4</t>
  </si>
  <si>
    <t>(l/D)^2</t>
  </si>
  <si>
    <t>ln(4D/L)</t>
  </si>
  <si>
    <t>Ludin</t>
  </si>
  <si>
    <t>Coffin</t>
  </si>
  <si>
    <t>N</t>
  </si>
  <si>
    <t>(mm)</t>
  </si>
  <si>
    <t>(m)</t>
  </si>
  <si>
    <t>L (uH)</t>
  </si>
  <si>
    <t>C (pF)</t>
  </si>
  <si>
    <t>Z= sqrt(L/C)</t>
  </si>
  <si>
    <t>R par.</t>
  </si>
  <si>
    <t>(ft)</t>
  </si>
  <si>
    <t>Internal helper calculations</t>
  </si>
  <si>
    <t>Gary Rondeau, AF7NX</t>
  </si>
  <si>
    <t>https://squashpractice.com/</t>
  </si>
  <si>
    <t>http://www.g3ynh.info/zdocs/magnetics/appendix/self-res.html</t>
  </si>
  <si>
    <t>Spreadsheet uses formlae and references compiled and explained by David W. Knight, G3YNH.</t>
  </si>
  <si>
    <t>Turns</t>
  </si>
  <si>
    <t>Length</t>
  </si>
  <si>
    <t>Diameter</t>
  </si>
  <si>
    <t>Wire Len.</t>
  </si>
  <si>
    <t>Inductance</t>
  </si>
  <si>
    <t>Capacitance</t>
  </si>
  <si>
    <t>Freq:</t>
  </si>
  <si>
    <r>
      <t xml:space="preserve">Fine-tune your coil design by adjusting </t>
    </r>
    <r>
      <rPr>
        <i/>
        <sz val="11"/>
        <color theme="1"/>
        <rFont val="Arial"/>
        <family val="2"/>
      </rPr>
      <t>D/l</t>
    </r>
    <r>
      <rPr>
        <sz val="11"/>
        <color theme="1"/>
        <rFont val="Arial"/>
        <family val="2"/>
      </rPr>
      <t xml:space="preserve"> in the green squares in the table above.  Use the upper line for </t>
    </r>
    <r>
      <rPr>
        <i/>
        <sz val="11"/>
        <color theme="1"/>
        <rFont val="Arial"/>
        <family val="2"/>
      </rPr>
      <t>D/l</t>
    </r>
    <r>
      <rPr>
        <sz val="11"/>
        <color theme="1"/>
        <rFont val="Arial"/>
        <family val="2"/>
      </rPr>
      <t xml:space="preserve"> &lt;1 and the lower line for </t>
    </r>
    <r>
      <rPr>
        <i/>
        <sz val="11"/>
        <color theme="1"/>
        <rFont val="Arial"/>
        <family val="2"/>
      </rPr>
      <t>D/l</t>
    </r>
    <r>
      <rPr>
        <sz val="11"/>
        <color theme="1"/>
        <rFont val="Arial"/>
        <family val="2"/>
      </rPr>
      <t xml:space="preserve"> &gt; 1.</t>
    </r>
  </si>
  <si>
    <r>
      <t xml:space="preserve">Coil Diameter </t>
    </r>
    <r>
      <rPr>
        <i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 xml:space="preserve"> and Length </t>
    </r>
    <r>
      <rPr>
        <i/>
        <sz val="11"/>
        <color theme="1"/>
        <rFont val="Arial"/>
        <family val="2"/>
      </rPr>
      <t>l</t>
    </r>
    <r>
      <rPr>
        <sz val="11"/>
        <color theme="1"/>
        <rFont val="Arial"/>
        <family val="2"/>
      </rPr>
      <t xml:space="preserve"> are measured to the center of the wire.  Adjust coil forms appropriately.</t>
    </r>
  </si>
  <si>
    <t xml:space="preserve">Wavelength: </t>
  </si>
  <si>
    <r>
      <t xml:space="preserve">Specify the design </t>
    </r>
    <r>
      <rPr>
        <b/>
        <sz val="11"/>
        <color theme="1"/>
        <rFont val="Arial"/>
        <family val="2"/>
      </rPr>
      <t>wavelength</t>
    </r>
    <r>
      <rPr>
        <sz val="11"/>
        <color theme="1"/>
        <rFont val="Arial"/>
        <family val="2"/>
      </rPr>
      <t xml:space="preserve">, the wire spacing for the coil, </t>
    </r>
    <r>
      <rPr>
        <b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, (use the insulated wire diameter for close spaced coils), and the dielectric properties.</t>
    </r>
  </si>
  <si>
    <r>
      <t xml:space="preserve">You may have a particular coil form diameter or desire an integer or half-integer number of turns.  Tweek </t>
    </r>
    <r>
      <rPr>
        <i/>
        <sz val="11"/>
        <color theme="1"/>
        <rFont val="Arial"/>
        <family val="2"/>
      </rPr>
      <t>D/l</t>
    </r>
    <r>
      <rPr>
        <sz val="11"/>
        <color theme="1"/>
        <rFont val="Arial"/>
        <family val="2"/>
      </rPr>
      <t xml:space="preserve"> to achive the goal.</t>
    </r>
  </si>
  <si>
    <t xml:space="preserve">is the effective dielectric constant for any wire coating.  Use 1.0 if bare wire; for insulated wire about 70% of the jacket dielectric constant </t>
  </si>
  <si>
    <t>seems to work well for coils of coaxial cable.  Typicaly ~2 for PE dielectrics; ~2.5 for PVC vinyl jackets.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</si>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</sst>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12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9C6500"/>
      <name val="Calibri"/>
      <family val="2"/>
    </font>
    <font>
      <b/>
      <sz val="14"/>
      <color theme="1"/>
      <name val="Calibri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rgb="FF9C65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92D050"/>
        <bgColor rgb="FF92D050"/>
      </patternFill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/>
    <xf numFmtId="164" fontId="2" fillId="3" borderId="1" xfId="0" applyNumberFormat="1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2" fontId="2" fillId="4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3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/>
    <xf numFmtId="1" fontId="3" fillId="2" borderId="1" xfId="0" applyNumberFormat="1" applyFont="1" applyFill="1" applyBorder="1"/>
    <xf numFmtId="165" fontId="1" fillId="0" borderId="0" xfId="0" applyNumberFormat="1" applyFont="1"/>
    <xf numFmtId="0" fontId="2" fillId="0" borderId="0" xfId="0" applyFont="1" applyAlignment="1">
      <alignment wrapText="1"/>
    </xf>
    <xf numFmtId="0" fontId="2" fillId="5" borderId="1" xfId="0" applyFont="1" applyFill="1" applyBorder="1"/>
    <xf numFmtId="16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/>
    <xf numFmtId="164" fontId="2" fillId="6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164" fontId="2" fillId="7" borderId="1" xfId="0" applyNumberFormat="1" applyFont="1" applyFill="1" applyBorder="1" applyAlignment="1">
      <alignment horizontal="center"/>
    </xf>
    <xf numFmtId="0" fontId="6" fillId="0" borderId="0" xfId="0" applyFont="1" applyAlignment="1"/>
    <xf numFmtId="0" fontId="6" fillId="0" borderId="0" xfId="0" applyFont="1"/>
    <xf numFmtId="164" fontId="6" fillId="3" borderId="1" xfId="0" applyNumberFormat="1" applyFont="1" applyFill="1" applyBorder="1" applyAlignment="1">
      <alignment horizontal="left"/>
    </xf>
    <xf numFmtId="2" fontId="2" fillId="4" borderId="1" xfId="0" applyNumberFormat="1" applyFont="1" applyFill="1" applyBorder="1" applyAlignment="1"/>
    <xf numFmtId="166" fontId="2" fillId="4" borderId="1" xfId="0" applyNumberFormat="1" applyFont="1" applyFill="1" applyBorder="1" applyAlignment="1"/>
    <xf numFmtId="2" fontId="2" fillId="4" borderId="1" xfId="0" applyNumberFormat="1" applyFont="1" applyFill="1" applyBorder="1" applyAlignment="1">
      <alignment horizontal="left"/>
    </xf>
    <xf numFmtId="2" fontId="4" fillId="0" borderId="0" xfId="0" applyNumberFormat="1" applyFont="1" applyAlignment="1">
      <alignment vertical="center"/>
    </xf>
    <xf numFmtId="0" fontId="7" fillId="0" borderId="0" xfId="0" applyFont="1" applyAlignme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6" fontId="9" fillId="2" borderId="1" xfId="0" applyNumberFormat="1" applyFont="1" applyFill="1" applyBorder="1"/>
    <xf numFmtId="164" fontId="10" fillId="3" borderId="1" xfId="0" applyNumberFormat="1" applyFont="1" applyFill="1" applyBorder="1" applyAlignment="1">
      <alignment horizontal="left"/>
    </xf>
    <xf numFmtId="2" fontId="10" fillId="3" borderId="1" xfId="0" applyNumberFormat="1" applyFont="1" applyFill="1" applyBorder="1" applyAlignment="1">
      <alignment horizontal="left"/>
    </xf>
    <xf numFmtId="0" fontId="8" fillId="0" borderId="0" xfId="0" applyFont="1" applyAlignment="1">
      <alignment horizontal="center" shrinkToFit="1"/>
    </xf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104775</xdr:colOff>
      <xdr:row>12</xdr:row>
      <xdr:rowOff>13335</xdr:rowOff>
    </xdr:from>
    <xdr:ext cx="142875" cy="200025"/>
    <xdr:pic>
      <xdr:nvPicPr>
        <xdr:cNvPr id="2" name="image7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97555" y="1659255"/>
          <a:ext cx="14287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95250</xdr:colOff>
      <xdr:row>12</xdr:row>
      <xdr:rowOff>28575</xdr:rowOff>
    </xdr:from>
    <xdr:ext cx="47625" cy="200025"/>
    <xdr:pic>
      <xdr:nvPicPr>
        <xdr:cNvPr id="3" name="image9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12</xdr:row>
      <xdr:rowOff>38100</xdr:rowOff>
    </xdr:from>
    <xdr:ext cx="104775" cy="200025"/>
    <xdr:pic>
      <xdr:nvPicPr>
        <xdr:cNvPr id="4" name="image2.pn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12</xdr:row>
      <xdr:rowOff>19050</xdr:rowOff>
    </xdr:from>
    <xdr:ext cx="133350" cy="200025"/>
    <xdr:pic>
      <xdr:nvPicPr>
        <xdr:cNvPr id="5" name="image8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114300</xdr:colOff>
      <xdr:row>12</xdr:row>
      <xdr:rowOff>9525</xdr:rowOff>
    </xdr:from>
    <xdr:ext cx="133350" cy="200025"/>
    <xdr:pic>
      <xdr:nvPicPr>
        <xdr:cNvPr id="6" name="image8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12</xdr:row>
      <xdr:rowOff>0</xdr:rowOff>
    </xdr:from>
    <xdr:ext cx="142875" cy="200025"/>
    <xdr:pic>
      <xdr:nvPicPr>
        <xdr:cNvPr id="7" name="image7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160020</xdr:colOff>
      <xdr:row>4</xdr:row>
      <xdr:rowOff>53340</xdr:rowOff>
    </xdr:from>
    <xdr:ext cx="114300" cy="190500"/>
    <xdr:pic>
      <xdr:nvPicPr>
        <xdr:cNvPr id="8" name="image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0020" y="281940"/>
          <a:ext cx="1143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106680</xdr:colOff>
      <xdr:row>5</xdr:row>
      <xdr:rowOff>53340</xdr:rowOff>
    </xdr:from>
    <xdr:ext cx="161925" cy="190500"/>
    <xdr:pic>
      <xdr:nvPicPr>
        <xdr:cNvPr id="9" name="image1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6680" y="480060"/>
          <a:ext cx="161925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441960</xdr:colOff>
      <xdr:row>9</xdr:row>
      <xdr:rowOff>22860</xdr:rowOff>
    </xdr:from>
    <xdr:ext cx="161925" cy="190500"/>
    <xdr:pic>
      <xdr:nvPicPr>
        <xdr:cNvPr id="10" name="image1.pn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38300" y="1607820"/>
          <a:ext cx="161925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411480</xdr:colOff>
      <xdr:row>9</xdr:row>
      <xdr:rowOff>15240</xdr:rowOff>
    </xdr:from>
    <xdr:ext cx="114300" cy="190500"/>
    <xdr:pic>
      <xdr:nvPicPr>
        <xdr:cNvPr id="11" name="image3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03220" y="1600200"/>
          <a:ext cx="1143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12</xdr:row>
      <xdr:rowOff>22860</xdr:rowOff>
    </xdr:from>
    <xdr:ext cx="238125" cy="190500"/>
    <xdr:pic>
      <xdr:nvPicPr>
        <xdr:cNvPr id="12" name="image4.pn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25980" y="1668780"/>
          <a:ext cx="238125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198120</xdr:colOff>
      <xdr:row>12</xdr:row>
      <xdr:rowOff>22860</xdr:rowOff>
    </xdr:from>
    <xdr:ext cx="152400" cy="190500"/>
    <xdr:pic>
      <xdr:nvPicPr>
        <xdr:cNvPr id="13" name="image6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50820" y="1668780"/>
          <a:ext cx="152400" cy="190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12</xdr:row>
      <xdr:rowOff>15240</xdr:rowOff>
    </xdr:from>
    <xdr:ext cx="276225" cy="190500"/>
    <xdr:pic>
      <xdr:nvPicPr>
        <xdr:cNvPr id="14" name="image5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4099560" y="1661160"/>
          <a:ext cx="276225" cy="190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06"/>
  <sheetViews>
    <sheetView tabSelected="1" workbookViewId="0">
      <selection activeCell="H1" sqref="H1"/>
    </sheetView>
  </sheetViews>
  <sheetFormatPr defaultColWidth="12.5703125" defaultRowHeight="15" customHeight="1"/>
  <cols>
    <col min="1" max="1" width="8.0703125" customWidth="1"/>
    <col min="2" max="2" width="7.5703125" customWidth="1"/>
    <col min="3" max="3" width="9.42578125" customWidth="1"/>
    <col min="4" max="4" width="7.5703125" customWidth="1"/>
    <col min="5" max="5" width="7.92578125" customWidth="1"/>
    <col min="6" max="6" width="9" customWidth="1"/>
    <col min="7" max="9" width="9.2109375" customWidth="1"/>
    <col min="10" max="11" width="8.42578125" customWidth="1"/>
    <col min="12" max="12" width="8.2109375" customWidth="1"/>
    <col min="13" max="13" width="8.92578125" customWidth="1"/>
    <col min="14" max="14" width="10.78515625" customWidth="1"/>
    <col min="15" max="15" width="10" customWidth="1"/>
    <col min="16" max="16" width="8.42578125" customWidth="1"/>
    <col min="17" max="17" width="7.5703125" customWidth="1"/>
    <col min="18" max="18" width="7.5" customWidth="1"/>
    <col min="19" max="19" width="11.2109375" customWidth="1"/>
    <col min="20" max="26" width="7.5703125" customWidth="1"/>
  </cols>
  <sheetData>
    <row r="1" spans="1:18" ht="29.4" customHeight="1">
      <c r="A1" s="40" t="s">
        <v>2</v>
      </c>
      <c r="E1" s="2"/>
      <c r="F1" s="2"/>
      <c r="G1" s="2"/>
      <c r="H1" s="2"/>
      <c r="J1" s="2"/>
      <c r="K1" s="2"/>
    </row>
    <row r="2" spans="1:18" ht="18" customHeight="1">
      <c r="A2" s="35" t="s">
        <v>0</v>
      </c>
      <c r="B2" s="34"/>
      <c r="C2" s="34"/>
      <c r="D2" s="34"/>
      <c r="E2" s="36"/>
      <c r="F2" s="36"/>
      <c r="G2" s="34"/>
    </row>
    <row r="3" spans="1:18" ht="18" customHeight="1">
      <c r="A3" s="35" t="s">
        <v>36</v>
      </c>
      <c r="B3" s="34"/>
      <c r="C3" s="34"/>
      <c r="D3" s="34"/>
      <c r="E3" s="34"/>
      <c r="F3" s="34"/>
      <c r="G3" s="34"/>
    </row>
    <row r="4" spans="1:18" ht="9" customHeight="1">
      <c r="A4" s="35"/>
      <c r="B4" s="34"/>
      <c r="C4" s="34"/>
      <c r="D4" s="34"/>
      <c r="E4" s="34"/>
      <c r="F4" s="34"/>
      <c r="G4" s="34"/>
    </row>
    <row r="5" spans="1:18" ht="18" customHeight="1">
      <c r="A5" s="1"/>
      <c r="B5" s="35" t="s">
        <v>1</v>
      </c>
      <c r="C5" s="34"/>
      <c r="D5" s="34"/>
      <c r="E5" s="34"/>
      <c r="F5" s="34"/>
      <c r="G5" s="34"/>
    </row>
    <row r="6" spans="1:18" ht="17.399999999999999" customHeight="1">
      <c r="A6" s="1"/>
      <c r="B6" s="35" t="s">
        <v>38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8" ht="17.399999999999999" customHeight="1">
      <c r="A7" s="1"/>
      <c r="B7" s="35" t="s">
        <v>39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8" spans="1:18" ht="17.399999999999999" customHeight="1">
      <c r="A8" s="1"/>
      <c r="B8" s="35"/>
      <c r="C8" s="34"/>
      <c r="D8" s="34"/>
      <c r="E8" s="34"/>
      <c r="F8" s="34"/>
      <c r="G8" s="34"/>
      <c r="H8" s="34"/>
      <c r="I8" s="34"/>
      <c r="J8" s="34" t="s">
        <v>40</v>
      </c>
      <c r="K8" s="34"/>
      <c r="L8" s="34"/>
      <c r="M8" s="34"/>
    </row>
    <row r="9" spans="1:18" ht="15" customHeight="1">
      <c r="H9" s="42" t="s">
        <v>3</v>
      </c>
    </row>
    <row r="10" spans="1:18" ht="14.6">
      <c r="A10" s="1" t="s">
        <v>4</v>
      </c>
      <c r="B10" s="4">
        <v>1E-3</v>
      </c>
      <c r="C10" s="1"/>
      <c r="D10" s="5">
        <v>2</v>
      </c>
      <c r="E10" s="1"/>
      <c r="F10" s="3">
        <v>1</v>
      </c>
      <c r="G10" s="49" t="s">
        <v>5</v>
      </c>
      <c r="H10" s="46">
        <v>7.1</v>
      </c>
      <c r="J10" s="49" t="s">
        <v>35</v>
      </c>
      <c r="K10" s="47">
        <v>42</v>
      </c>
      <c r="L10" s="1" t="s">
        <v>6</v>
      </c>
      <c r="M10" s="43" t="s">
        <v>32</v>
      </c>
      <c r="N10" s="45">
        <f>300/lambda</f>
        <v>7.1428571428571432</v>
      </c>
      <c r="O10" s="44" t="s">
        <v>7</v>
      </c>
    </row>
    <row r="11" spans="1:18" ht="8.4" customHeight="1">
      <c r="C11" s="7"/>
      <c r="D11" s="7"/>
      <c r="E11" s="7"/>
      <c r="F11" s="7"/>
      <c r="G11" s="7"/>
      <c r="N11" s="1"/>
    </row>
    <row r="12" spans="1:18" ht="14.6">
      <c r="A12" s="7"/>
      <c r="B12" s="7"/>
      <c r="C12" s="7"/>
      <c r="D12" s="7"/>
      <c r="F12" s="42" t="s">
        <v>26</v>
      </c>
      <c r="G12" s="42" t="s">
        <v>27</v>
      </c>
      <c r="H12" s="42" t="s">
        <v>28</v>
      </c>
      <c r="I12" s="42" t="s">
        <v>29</v>
      </c>
      <c r="J12" s="48" t="s">
        <v>30</v>
      </c>
      <c r="K12" s="48" t="s">
        <v>31</v>
      </c>
      <c r="P12" s="39" t="s">
        <v>21</v>
      </c>
      <c r="Q12" s="37"/>
      <c r="R12" s="38"/>
    </row>
    <row r="13" spans="1:18" ht="14.6">
      <c r="A13" s="7"/>
      <c r="B13" s="7"/>
      <c r="C13" s="6" t="s">
        <v>11</v>
      </c>
      <c r="D13" s="7"/>
      <c r="E13" s="6" t="s">
        <v>12</v>
      </c>
      <c r="F13" s="7" t="s">
        <v>13</v>
      </c>
      <c r="G13" s="6" t="s">
        <v>14</v>
      </c>
      <c r="H13" s="6" t="s">
        <v>14</v>
      </c>
      <c r="I13" s="6" t="s">
        <v>15</v>
      </c>
      <c r="J13" s="7" t="s">
        <v>16</v>
      </c>
      <c r="K13" s="7" t="s">
        <v>17</v>
      </c>
      <c r="L13" s="10" t="s">
        <v>18</v>
      </c>
      <c r="M13" s="7" t="s">
        <v>19</v>
      </c>
      <c r="N13" s="6" t="s">
        <v>20</v>
      </c>
      <c r="P13" s="8" t="s">
        <v>8</v>
      </c>
      <c r="Q13" s="8" t="s">
        <v>9</v>
      </c>
      <c r="R13" s="9" t="s">
        <v>10</v>
      </c>
    </row>
    <row r="14" spans="1:18" ht="14.6">
      <c r="A14" s="13">
        <v>0.05</v>
      </c>
      <c r="B14" s="13">
        <f t="shared" ref="B14:B28" si="0">A14*0.717439 + 0.933048*POWER(A14,1.5)+0.106*A14*A14</f>
        <v>4.6568743771351125E-2</v>
      </c>
      <c r="C14" s="14">
        <f t="shared" ref="C14:C20" si="1">(1+0.383901/Q14 +0.017108/P14)/(1+0.258952/Q14) - 0.424413*A14</f>
        <v>0.97909162726294563</v>
      </c>
      <c r="D14" s="13">
        <f t="shared" ref="D14:D19" si="2">1/(2*SQRT(C14*ex*(1+B14*(1+ei/ex)/2)))</f>
        <v>0.35122754838377601</v>
      </c>
      <c r="E14" s="13"/>
      <c r="F14" s="15">
        <f t="shared" ref="F14:F28" si="3">SQRT(D14*lambda*1000/Cable_O.D./3.14159/A14)</f>
        <v>115.00851659959568</v>
      </c>
      <c r="G14" s="16">
        <f t="shared" ref="G14:G28" si="4">F14*Cable_O.D.</f>
        <v>816.56046785712931</v>
      </c>
      <c r="H14" s="16">
        <f t="shared" ref="H14:H28" si="5">G14*A14</f>
        <v>40.828023392856466</v>
      </c>
      <c r="I14" s="15">
        <f t="shared" ref="I14:I28" si="6">lambda*D14</f>
        <v>14.751557032118592</v>
      </c>
      <c r="J14" s="15">
        <f t="shared" ref="J14:J19" si="7">100*C14*I14*I14/G14</f>
        <v>26.092200760580784</v>
      </c>
      <c r="K14" s="13">
        <f t="shared" ref="K14:K28" si="8">8.854*4/3.14159*ex*G14/1000*(1+B14*(1+ei/ex)/2)</f>
        <v>19.053636742266875</v>
      </c>
      <c r="L14" s="2">
        <f t="shared" ref="L14:L28" si="9">SQRT(J14/K14)*1000</f>
        <v>1170.2170329913718</v>
      </c>
      <c r="M14" s="17">
        <f t="shared" ref="M14:M28" si="10">L14/Loss_tan.</f>
        <v>1170217.0329913718</v>
      </c>
      <c r="N14" s="15">
        <f t="shared" ref="N14:N28" si="11">I14*3.28</f>
        <v>48.385107065348983</v>
      </c>
      <c r="P14" s="11">
        <f t="shared" ref="P14:P28" si="12">Q14*Q14</f>
        <v>160000</v>
      </c>
      <c r="Q14" s="11">
        <f t="shared" ref="Q14:Q28" si="13">1/A14/A14</f>
        <v>400</v>
      </c>
      <c r="R14" s="12">
        <f t="shared" ref="R14:R28" si="14">LN(A14*4)</f>
        <v>-1.6094379124341003</v>
      </c>
    </row>
    <row r="15" spans="1:18" ht="14.6">
      <c r="A15" s="13">
        <v>0.1</v>
      </c>
      <c r="B15" s="13">
        <f t="shared" si="0"/>
        <v>0.10230946846264788</v>
      </c>
      <c r="C15" s="14">
        <f t="shared" si="1"/>
        <v>0.958806669158904</v>
      </c>
      <c r="D15" s="13">
        <f t="shared" si="2"/>
        <v>0.34796507220675338</v>
      </c>
      <c r="E15" s="13"/>
      <c r="F15" s="15">
        <f t="shared" si="3"/>
        <v>80.944723580314999</v>
      </c>
      <c r="G15" s="16">
        <f t="shared" si="4"/>
        <v>574.70753742023646</v>
      </c>
      <c r="H15" s="16">
        <f t="shared" si="5"/>
        <v>57.470753742023646</v>
      </c>
      <c r="I15" s="15">
        <f t="shared" si="6"/>
        <v>14.614533032683642</v>
      </c>
      <c r="J15" s="15">
        <f t="shared" si="7"/>
        <v>35.633135523274163</v>
      </c>
      <c r="K15" s="13">
        <f t="shared" si="8"/>
        <v>13.951938492016398</v>
      </c>
      <c r="L15" s="2">
        <f t="shared" si="9"/>
        <v>1598.1213126039577</v>
      </c>
      <c r="M15" s="17">
        <f t="shared" si="10"/>
        <v>1598121.3126039577</v>
      </c>
      <c r="N15" s="15">
        <f t="shared" si="11"/>
        <v>47.935668347202345</v>
      </c>
      <c r="P15" s="11">
        <f t="shared" si="12"/>
        <v>10000</v>
      </c>
      <c r="Q15" s="11">
        <f t="shared" si="13"/>
        <v>100</v>
      </c>
      <c r="R15" s="12">
        <f t="shared" si="14"/>
        <v>-0.916290731874155</v>
      </c>
    </row>
    <row r="16" spans="1:18" ht="14.6">
      <c r="A16" s="19">
        <v>0.15</v>
      </c>
      <c r="B16" s="18">
        <f t="shared" si="0"/>
        <v>0.16420604047818207</v>
      </c>
      <c r="C16" s="20">
        <f t="shared" si="1"/>
        <v>0.93914172801931484</v>
      </c>
      <c r="D16" s="18">
        <f t="shared" si="2"/>
        <v>0.34424661706035131</v>
      </c>
      <c r="E16" s="18"/>
      <c r="F16" s="21">
        <f t="shared" si="3"/>
        <v>65.737007321673076</v>
      </c>
      <c r="G16" s="22">
        <f t="shared" si="4"/>
        <v>466.73275198387881</v>
      </c>
      <c r="H16" s="22">
        <f t="shared" si="5"/>
        <v>70.009912797581819</v>
      </c>
      <c r="I16" s="21">
        <f t="shared" si="6"/>
        <v>14.458357916534755</v>
      </c>
      <c r="J16" s="21">
        <f t="shared" si="7"/>
        <v>42.063054131967206</v>
      </c>
      <c r="K16" s="18">
        <f t="shared" si="8"/>
        <v>11.81919205245201</v>
      </c>
      <c r="L16" s="23">
        <f t="shared" si="9"/>
        <v>1886.498684282333</v>
      </c>
      <c r="M16" s="24">
        <f t="shared" si="10"/>
        <v>1886498.6842823329</v>
      </c>
      <c r="N16" s="21">
        <f t="shared" si="11"/>
        <v>47.423413966233994</v>
      </c>
      <c r="P16" s="11">
        <f t="shared" si="12"/>
        <v>1975.3086419753092</v>
      </c>
      <c r="Q16" s="11">
        <f t="shared" si="13"/>
        <v>44.44444444444445</v>
      </c>
      <c r="R16" s="12">
        <f t="shared" si="14"/>
        <v>-0.51082562376599072</v>
      </c>
    </row>
    <row r="17" spans="1:18" ht="14.6">
      <c r="A17" s="13">
        <v>0.2</v>
      </c>
      <c r="B17" s="13">
        <f t="shared" si="0"/>
        <v>0.23118215017080898</v>
      </c>
      <c r="C17" s="14">
        <f t="shared" si="1"/>
        <v>0.92009121364040736</v>
      </c>
      <c r="D17" s="13">
        <f t="shared" si="2"/>
        <v>0.34026634828458446</v>
      </c>
      <c r="E17" s="13"/>
      <c r="F17" s="15">
        <f t="shared" si="3"/>
        <v>56.599842179743185</v>
      </c>
      <c r="G17" s="16">
        <f t="shared" si="4"/>
        <v>401.85887947617658</v>
      </c>
      <c r="H17" s="16">
        <f t="shared" si="5"/>
        <v>80.371775895235317</v>
      </c>
      <c r="I17" s="15">
        <f t="shared" si="6"/>
        <v>14.291186627952548</v>
      </c>
      <c r="J17" s="15">
        <f t="shared" si="7"/>
        <v>46.76208811262353</v>
      </c>
      <c r="K17" s="13">
        <f t="shared" si="8"/>
        <v>10.631503749384503</v>
      </c>
      <c r="L17" s="2">
        <f t="shared" si="9"/>
        <v>2097.2470858152851</v>
      </c>
      <c r="M17" s="17">
        <f t="shared" si="10"/>
        <v>2097247.0858152849</v>
      </c>
      <c r="N17" s="15">
        <f t="shared" si="11"/>
        <v>46.875092139684355</v>
      </c>
      <c r="P17" s="11">
        <f t="shared" si="12"/>
        <v>625</v>
      </c>
      <c r="Q17" s="11">
        <f t="shared" si="13"/>
        <v>25</v>
      </c>
      <c r="R17" s="12">
        <f t="shared" si="14"/>
        <v>-0.22314355131420971</v>
      </c>
    </row>
    <row r="18" spans="1:18" ht="14.6">
      <c r="A18" s="13">
        <v>0.5</v>
      </c>
      <c r="B18" s="13">
        <f t="shared" si="0"/>
        <v>0.71510178398627289</v>
      </c>
      <c r="C18" s="14">
        <f t="shared" si="1"/>
        <v>0.81813570625167897</v>
      </c>
      <c r="D18" s="13">
        <f t="shared" si="2"/>
        <v>0.31535563446450515</v>
      </c>
      <c r="E18" s="13"/>
      <c r="F18" s="15">
        <f t="shared" si="3"/>
        <v>34.461645705846223</v>
      </c>
      <c r="G18" s="16">
        <f t="shared" si="4"/>
        <v>244.67768451150818</v>
      </c>
      <c r="H18" s="16">
        <f t="shared" si="5"/>
        <v>122.33884225575409</v>
      </c>
      <c r="I18" s="15">
        <f t="shared" si="6"/>
        <v>13.244936647509217</v>
      </c>
      <c r="J18" s="15">
        <f t="shared" si="7"/>
        <v>58.658473366497475</v>
      </c>
      <c r="K18" s="13">
        <f t="shared" si="8"/>
        <v>8.4753537991384462</v>
      </c>
      <c r="L18" s="2">
        <f t="shared" si="9"/>
        <v>2630.7916795753704</v>
      </c>
      <c r="M18" s="17">
        <f t="shared" si="10"/>
        <v>2630791.6795753702</v>
      </c>
      <c r="N18" s="15">
        <f t="shared" si="11"/>
        <v>43.443392203830228</v>
      </c>
      <c r="P18" s="11">
        <f t="shared" si="12"/>
        <v>16</v>
      </c>
      <c r="Q18" s="11">
        <f t="shared" si="13"/>
        <v>4</v>
      </c>
      <c r="R18" s="12">
        <f t="shared" si="14"/>
        <v>0.69314718055994529</v>
      </c>
    </row>
    <row r="19" spans="1:18" ht="14.6">
      <c r="A19" s="13">
        <v>0.7</v>
      </c>
      <c r="B19" s="13">
        <f t="shared" si="0"/>
        <v>1.1005980751062965</v>
      </c>
      <c r="C19" s="14">
        <f t="shared" si="1"/>
        <v>0.76088713980722544</v>
      </c>
      <c r="D19" s="13">
        <f t="shared" si="2"/>
        <v>0.2999922845614274</v>
      </c>
      <c r="E19" s="13"/>
      <c r="F19" s="15">
        <f t="shared" si="3"/>
        <v>28.407089565247812</v>
      </c>
      <c r="G19" s="16">
        <f t="shared" si="4"/>
        <v>201.69033591325945</v>
      </c>
      <c r="H19" s="16">
        <f t="shared" si="5"/>
        <v>141.18323513928161</v>
      </c>
      <c r="I19" s="15">
        <f t="shared" si="6"/>
        <v>12.59967595157995</v>
      </c>
      <c r="J19" s="15">
        <f t="shared" si="7"/>
        <v>59.88994387311665</v>
      </c>
      <c r="K19" s="13">
        <f t="shared" si="8"/>
        <v>8.3010816665928839</v>
      </c>
      <c r="L19" s="2">
        <f t="shared" si="9"/>
        <v>2686.0222741770126</v>
      </c>
      <c r="M19" s="17">
        <f t="shared" si="10"/>
        <v>2686022.2741770125</v>
      </c>
      <c r="N19" s="15">
        <f t="shared" si="11"/>
        <v>41.326937121182233</v>
      </c>
      <c r="P19" s="11">
        <f t="shared" si="12"/>
        <v>4.1649312786339028</v>
      </c>
      <c r="Q19" s="11">
        <f t="shared" si="13"/>
        <v>2.0408163265306123</v>
      </c>
      <c r="R19" s="12">
        <f t="shared" si="14"/>
        <v>1.0296194171811581</v>
      </c>
    </row>
    <row r="20" spans="1:18" ht="14.6">
      <c r="A20" s="13">
        <v>1</v>
      </c>
      <c r="B20" s="13">
        <f t="shared" si="0"/>
        <v>1.7564870000000001</v>
      </c>
      <c r="C20" s="14">
        <f t="shared" si="1"/>
        <v>0.68842450293895241</v>
      </c>
      <c r="D20" s="13">
        <f t="shared" ref="D20:D28" si="15">1/(2*SQRT(E20*ex*(1+B20*(1+ei/ex)/2)))</f>
        <v>0.27994598200450005</v>
      </c>
      <c r="E20" s="13">
        <f t="shared" ref="E20:E28" si="16">2/3.14159/A20*(R20-0.5+Q20/8*(R20+0.25) -P20/64*(R20-0.6666666) + 5*P20*Q20/1024*(R20-109/120)-35*P20*P20/16384*(R20-431/420))</f>
        <v>0.68828300426374311</v>
      </c>
      <c r="F20" s="15">
        <f t="shared" si="3"/>
        <v>22.959257408615056</v>
      </c>
      <c r="G20" s="16">
        <f t="shared" si="4"/>
        <v>163.01072760116688</v>
      </c>
      <c r="H20" s="16">
        <f t="shared" si="5"/>
        <v>163.01072760116688</v>
      </c>
      <c r="I20" s="15">
        <f t="shared" si="6"/>
        <v>11.757731244189003</v>
      </c>
      <c r="J20" s="15">
        <f t="shared" ref="J20:J28" si="17">100*E20*I20*I20/G20</f>
        <v>58.371105380606657</v>
      </c>
      <c r="K20" s="13">
        <f t="shared" si="8"/>
        <v>8.5170789872274764</v>
      </c>
      <c r="L20" s="2">
        <f t="shared" si="9"/>
        <v>2617.9034255368724</v>
      </c>
      <c r="M20" s="17">
        <f t="shared" si="10"/>
        <v>2617903.4255368724</v>
      </c>
      <c r="N20" s="15">
        <f t="shared" si="11"/>
        <v>38.565358480939928</v>
      </c>
      <c r="P20" s="11">
        <f t="shared" si="12"/>
        <v>1</v>
      </c>
      <c r="Q20" s="11">
        <f t="shared" si="13"/>
        <v>1</v>
      </c>
      <c r="R20" s="12">
        <f t="shared" si="14"/>
        <v>1.3862943611198906</v>
      </c>
    </row>
    <row r="21" spans="1:18" ht="14.6">
      <c r="A21" s="13">
        <v>1.5</v>
      </c>
      <c r="B21" s="13">
        <f t="shared" si="0"/>
        <v>3.0287771291432692</v>
      </c>
      <c r="C21" s="14"/>
      <c r="D21" s="13">
        <f t="shared" si="15"/>
        <v>0.25339749842384379</v>
      </c>
      <c r="E21" s="13">
        <f t="shared" si="16"/>
        <v>0.59504175815647187</v>
      </c>
      <c r="F21" s="15">
        <f t="shared" si="3"/>
        <v>17.835128796938971</v>
      </c>
      <c r="G21" s="16">
        <f t="shared" si="4"/>
        <v>126.62941445826668</v>
      </c>
      <c r="H21" s="16">
        <f t="shared" si="5"/>
        <v>189.94412168740001</v>
      </c>
      <c r="I21" s="15">
        <f t="shared" si="6"/>
        <v>10.642694933801438</v>
      </c>
      <c r="J21" s="15">
        <f t="shared" si="17"/>
        <v>53.225049332096056</v>
      </c>
      <c r="K21" s="13">
        <f t="shared" si="8"/>
        <v>9.3405515135635682</v>
      </c>
      <c r="L21" s="2">
        <f t="shared" si="9"/>
        <v>2387.1063955755976</v>
      </c>
      <c r="M21" s="17">
        <f t="shared" si="10"/>
        <v>2387106.3955755974</v>
      </c>
      <c r="N21" s="15">
        <f t="shared" si="11"/>
        <v>34.908039382868715</v>
      </c>
      <c r="P21" s="11">
        <f t="shared" si="12"/>
        <v>0.19753086419753085</v>
      </c>
      <c r="Q21" s="11">
        <f t="shared" si="13"/>
        <v>0.44444444444444442</v>
      </c>
      <c r="R21" s="12">
        <f t="shared" si="14"/>
        <v>1.791759469228055</v>
      </c>
    </row>
    <row r="22" spans="1:18" ht="14.6">
      <c r="A22" s="13">
        <v>2</v>
      </c>
      <c r="B22" s="13">
        <f t="shared" si="0"/>
        <v>4.4979362718901834</v>
      </c>
      <c r="C22" s="14"/>
      <c r="D22" s="13">
        <f t="shared" si="15"/>
        <v>0.23321272994224077</v>
      </c>
      <c r="E22" s="13">
        <f t="shared" si="16"/>
        <v>0.52551016723447763</v>
      </c>
      <c r="F22" s="15">
        <f t="shared" si="3"/>
        <v>14.817735779463815</v>
      </c>
      <c r="G22" s="16">
        <f t="shared" si="4"/>
        <v>105.20592403419309</v>
      </c>
      <c r="H22" s="16">
        <f t="shared" si="5"/>
        <v>210.41184806838618</v>
      </c>
      <c r="I22" s="15">
        <f t="shared" si="6"/>
        <v>9.7949346575741121</v>
      </c>
      <c r="J22" s="15">
        <f t="shared" si="17"/>
        <v>47.923001850032186</v>
      </c>
      <c r="K22" s="13">
        <f t="shared" si="8"/>
        <v>10.373960225909173</v>
      </c>
      <c r="L22" s="2">
        <f t="shared" si="9"/>
        <v>2149.313258454953</v>
      </c>
      <c r="M22" s="17">
        <f t="shared" si="10"/>
        <v>2149313.2584549529</v>
      </c>
      <c r="N22" s="15">
        <f t="shared" si="11"/>
        <v>32.127385676843083</v>
      </c>
      <c r="P22" s="11">
        <f t="shared" si="12"/>
        <v>6.25E-2</v>
      </c>
      <c r="Q22" s="11">
        <f t="shared" si="13"/>
        <v>0.25</v>
      </c>
      <c r="R22" s="12">
        <f t="shared" si="14"/>
        <v>2.0794415416798357</v>
      </c>
    </row>
    <row r="23" spans="1:18" ht="14.6">
      <c r="A23" s="13">
        <v>3</v>
      </c>
      <c r="B23" s="13">
        <f t="shared" si="0"/>
        <v>7.9545766257015771</v>
      </c>
      <c r="C23" s="14"/>
      <c r="D23" s="13">
        <f t="shared" si="15"/>
        <v>0.20447303290982663</v>
      </c>
      <c r="E23" s="13">
        <f t="shared" si="16"/>
        <v>0.42919897429672138</v>
      </c>
      <c r="F23" s="15">
        <f t="shared" si="3"/>
        <v>11.328648710013812</v>
      </c>
      <c r="G23" s="16">
        <f t="shared" si="4"/>
        <v>80.433405841098065</v>
      </c>
      <c r="H23" s="16">
        <f t="shared" si="5"/>
        <v>241.30021752329418</v>
      </c>
      <c r="I23" s="15">
        <f t="shared" si="6"/>
        <v>8.5878673822127176</v>
      </c>
      <c r="J23" s="15">
        <f t="shared" si="17"/>
        <v>39.354361914622949</v>
      </c>
      <c r="K23" s="13">
        <f t="shared" si="8"/>
        <v>12.63268646502126</v>
      </c>
      <c r="L23" s="2">
        <f t="shared" si="9"/>
        <v>1765.015724720862</v>
      </c>
      <c r="M23" s="17">
        <f t="shared" si="10"/>
        <v>1765015.724720862</v>
      </c>
      <c r="N23" s="15">
        <f t="shared" si="11"/>
        <v>28.168205013657712</v>
      </c>
      <c r="P23" s="11">
        <f t="shared" si="12"/>
        <v>1.2345679012345678E-2</v>
      </c>
      <c r="Q23" s="11">
        <f t="shared" si="13"/>
        <v>0.1111111111111111</v>
      </c>
      <c r="R23" s="12">
        <f t="shared" si="14"/>
        <v>2.4849066497880004</v>
      </c>
    </row>
    <row r="24" spans="1:18" ht="14.6">
      <c r="A24" s="19">
        <v>4.25</v>
      </c>
      <c r="B24" s="18">
        <f t="shared" si="0"/>
        <v>13.138733597764027</v>
      </c>
      <c r="C24" s="20"/>
      <c r="D24" s="18">
        <f t="shared" si="15"/>
        <v>0.18070440454218906</v>
      </c>
      <c r="E24" s="18">
        <f t="shared" si="16"/>
        <v>0.35267990131001509</v>
      </c>
      <c r="F24" s="21">
        <f t="shared" si="3"/>
        <v>8.9476836716342536</v>
      </c>
      <c r="G24" s="22">
        <f t="shared" si="4"/>
        <v>63.528554068603199</v>
      </c>
      <c r="H24" s="22">
        <f t="shared" si="5"/>
        <v>269.99635479156359</v>
      </c>
      <c r="I24" s="21">
        <f t="shared" si="6"/>
        <v>7.5895849907719404</v>
      </c>
      <c r="J24" s="21">
        <f t="shared" si="17"/>
        <v>31.977742220426357</v>
      </c>
      <c r="K24" s="18">
        <f t="shared" si="8"/>
        <v>15.546792255421998</v>
      </c>
      <c r="L24" s="23">
        <f t="shared" si="9"/>
        <v>1434.179468658868</v>
      </c>
      <c r="M24" s="24">
        <f t="shared" si="10"/>
        <v>1434179.468658868</v>
      </c>
      <c r="N24" s="21">
        <f t="shared" si="11"/>
        <v>24.893838769731964</v>
      </c>
      <c r="P24" s="11">
        <f t="shared" si="12"/>
        <v>3.0650974006537278E-3</v>
      </c>
      <c r="Q24" s="11">
        <f t="shared" si="13"/>
        <v>5.536332179930796E-2</v>
      </c>
      <c r="R24" s="12">
        <f t="shared" si="14"/>
        <v>2.8332133440562162</v>
      </c>
    </row>
    <row r="25" spans="1:18" ht="14.6">
      <c r="A25" s="13">
        <v>5</v>
      </c>
      <c r="B25" s="13">
        <f t="shared" si="0"/>
        <v>16.668988771351117</v>
      </c>
      <c r="C25" s="25"/>
      <c r="D25" s="13">
        <f t="shared" si="15"/>
        <v>0.17013881573040693</v>
      </c>
      <c r="E25" s="13">
        <f t="shared" si="16"/>
        <v>0.31982573789974622</v>
      </c>
      <c r="F25" s="15">
        <f t="shared" si="3"/>
        <v>8.0045591555099751</v>
      </c>
      <c r="G25" s="16">
        <f t="shared" si="4"/>
        <v>56.832370004120818</v>
      </c>
      <c r="H25" s="16">
        <f t="shared" si="5"/>
        <v>284.16185002060411</v>
      </c>
      <c r="I25" s="15">
        <f t="shared" si="6"/>
        <v>7.1458302606770907</v>
      </c>
      <c r="J25" s="15">
        <f t="shared" si="17"/>
        <v>28.735782985911339</v>
      </c>
      <c r="K25" s="13">
        <f t="shared" si="8"/>
        <v>17.300774972519463</v>
      </c>
      <c r="L25" s="2">
        <f t="shared" si="9"/>
        <v>1288.7798547549048</v>
      </c>
      <c r="M25" s="17">
        <f t="shared" si="10"/>
        <v>1288779.8547549048</v>
      </c>
      <c r="N25" s="15">
        <f t="shared" si="11"/>
        <v>23.438323255020855</v>
      </c>
      <c r="P25" s="11">
        <f t="shared" si="12"/>
        <v>1.6000000000000001E-3</v>
      </c>
      <c r="Q25" s="11">
        <f t="shared" si="13"/>
        <v>0.04</v>
      </c>
      <c r="R25" s="12">
        <f t="shared" si="14"/>
        <v>2.9957322735539909</v>
      </c>
    </row>
    <row r="26" spans="1:18" ht="15.75" customHeight="1">
      <c r="A26" s="13">
        <v>6</v>
      </c>
      <c r="B26" s="13">
        <f t="shared" si="0"/>
        <v>21.833583033146152</v>
      </c>
      <c r="C26" s="25"/>
      <c r="D26" s="13">
        <f t="shared" si="15"/>
        <v>0.15876523576110377</v>
      </c>
      <c r="E26" s="13">
        <f t="shared" si="16"/>
        <v>0.2854103338047207</v>
      </c>
      <c r="F26" s="15">
        <f t="shared" si="3"/>
        <v>7.0586687058290618</v>
      </c>
      <c r="G26" s="16">
        <f t="shared" si="4"/>
        <v>50.116547811386333</v>
      </c>
      <c r="H26" s="16">
        <f t="shared" si="5"/>
        <v>300.69928686831798</v>
      </c>
      <c r="I26" s="15">
        <f t="shared" si="6"/>
        <v>6.6681399019663585</v>
      </c>
      <c r="J26" s="15">
        <f t="shared" si="17"/>
        <v>25.321996930550853</v>
      </c>
      <c r="K26" s="13">
        <f t="shared" si="8"/>
        <v>19.633179660431725</v>
      </c>
      <c r="L26" s="2">
        <f t="shared" si="9"/>
        <v>1135.6739275995922</v>
      </c>
      <c r="M26" s="17">
        <f t="shared" si="10"/>
        <v>1135673.9275995921</v>
      </c>
      <c r="N26" s="15">
        <f t="shared" si="11"/>
        <v>21.871498878449653</v>
      </c>
      <c r="P26" s="11">
        <f t="shared" si="12"/>
        <v>7.716049382716049E-4</v>
      </c>
      <c r="Q26" s="11">
        <f t="shared" si="13"/>
        <v>2.7777777777777776E-2</v>
      </c>
      <c r="R26" s="12">
        <f t="shared" si="14"/>
        <v>3.1780538303479458</v>
      </c>
    </row>
    <row r="27" spans="1:18" ht="15.75" customHeight="1">
      <c r="A27" s="13">
        <v>8</v>
      </c>
      <c r="B27" s="13">
        <f t="shared" si="0"/>
        <v>33.635978175121458</v>
      </c>
      <c r="C27" s="25"/>
      <c r="D27" s="13">
        <f t="shared" si="15"/>
        <v>0.14193496697215394</v>
      </c>
      <c r="E27" s="13">
        <f t="shared" si="16"/>
        <v>0.23658263564051771</v>
      </c>
      <c r="F27" s="15">
        <f t="shared" si="3"/>
        <v>5.7799013351727861</v>
      </c>
      <c r="G27" s="16">
        <f t="shared" si="4"/>
        <v>41.037299479726776</v>
      </c>
      <c r="H27" s="16">
        <f t="shared" si="5"/>
        <v>328.29839583781421</v>
      </c>
      <c r="I27" s="15">
        <f t="shared" si="6"/>
        <v>5.9612686128304651</v>
      </c>
      <c r="J27" s="15">
        <f t="shared" si="17"/>
        <v>20.487146591445992</v>
      </c>
      <c r="K27" s="13">
        <f t="shared" si="8"/>
        <v>24.266498649742733</v>
      </c>
      <c r="L27" s="2">
        <f t="shared" si="9"/>
        <v>918.83425697540054</v>
      </c>
      <c r="M27" s="17">
        <f t="shared" si="10"/>
        <v>918834.25697540049</v>
      </c>
      <c r="N27" s="15">
        <f t="shared" si="11"/>
        <v>19.552961050083923</v>
      </c>
      <c r="P27" s="11">
        <f t="shared" si="12"/>
        <v>2.44140625E-4</v>
      </c>
      <c r="Q27" s="11">
        <f t="shared" si="13"/>
        <v>1.5625E-2</v>
      </c>
      <c r="R27" s="12">
        <f t="shared" si="14"/>
        <v>3.4657359027997265</v>
      </c>
    </row>
    <row r="28" spans="1:18" ht="15.75" customHeight="1">
      <c r="A28" s="13">
        <v>10</v>
      </c>
      <c r="B28" s="13">
        <f t="shared" si="0"/>
        <v>47.279958462647869</v>
      </c>
      <c r="C28" s="25"/>
      <c r="D28" s="13">
        <f t="shared" si="15"/>
        <v>0.12985326360825125</v>
      </c>
      <c r="E28" s="13">
        <f t="shared" si="16"/>
        <v>0.20332368926206149</v>
      </c>
      <c r="F28" s="15">
        <f t="shared" si="3"/>
        <v>4.9447820326152456</v>
      </c>
      <c r="G28" s="16">
        <f t="shared" si="4"/>
        <v>35.107952431568243</v>
      </c>
      <c r="H28" s="16">
        <f t="shared" si="5"/>
        <v>351.07952431568242</v>
      </c>
      <c r="I28" s="15">
        <f t="shared" si="6"/>
        <v>5.4538370715465527</v>
      </c>
      <c r="J28" s="15">
        <f t="shared" si="17"/>
        <v>17.226093466629198</v>
      </c>
      <c r="K28" s="13">
        <f t="shared" si="8"/>
        <v>28.86036326585009</v>
      </c>
      <c r="L28" s="2">
        <f t="shared" si="9"/>
        <v>772.57829538876251</v>
      </c>
      <c r="M28" s="17">
        <f t="shared" si="10"/>
        <v>772578.29538876249</v>
      </c>
      <c r="N28" s="15">
        <f t="shared" si="11"/>
        <v>17.888585594672691</v>
      </c>
      <c r="P28" s="11">
        <f t="shared" si="12"/>
        <v>1E-4</v>
      </c>
      <c r="Q28" s="11">
        <f t="shared" si="13"/>
        <v>0.01</v>
      </c>
      <c r="R28" s="12">
        <f t="shared" si="14"/>
        <v>3.6888794541139363</v>
      </c>
    </row>
    <row r="29" spans="1:18" ht="15.75" customHeight="1"/>
    <row r="30" spans="1:18" ht="15.75" customHeight="1">
      <c r="A30" s="34" t="s">
        <v>33</v>
      </c>
    </row>
    <row r="31" spans="1:18" ht="15.75" customHeight="1">
      <c r="A31" s="34" t="s">
        <v>37</v>
      </c>
    </row>
    <row r="32" spans="1:18" ht="15.75" customHeight="1">
      <c r="A32" s="34" t="s">
        <v>34</v>
      </c>
    </row>
    <row r="33" spans="1:5" ht="15.75" customHeight="1"/>
    <row r="34" spans="1:5" ht="15.75" customHeight="1">
      <c r="A34" s="34" t="s">
        <v>22</v>
      </c>
      <c r="E34" s="41" t="s">
        <v>25</v>
      </c>
    </row>
    <row r="35" spans="1:5" ht="15.75" customHeight="1">
      <c r="A35" s="41" t="s">
        <v>23</v>
      </c>
      <c r="E35" s="41" t="s">
        <v>24</v>
      </c>
    </row>
    <row r="36" spans="1:5" ht="15.75" customHeight="1"/>
    <row r="37" spans="1:5" ht="15.75" customHeight="1"/>
    <row r="38" spans="1:5" ht="15.75" customHeight="1"/>
    <row r="39" spans="1:5" ht="15.75" customHeight="1">
      <c r="D39" s="7"/>
    </row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spans="1:6" ht="15.75" customHeight="1">
      <c r="B49" s="13"/>
    </row>
    <row r="50" spans="1:6" ht="15.75" customHeight="1">
      <c r="B50" s="13"/>
    </row>
    <row r="51" spans="1:6" ht="15.75" customHeight="1">
      <c r="B51" s="13"/>
    </row>
    <row r="52" spans="1:6" ht="15.75" customHeight="1">
      <c r="B52" s="13"/>
    </row>
    <row r="53" spans="1:6" ht="15.75" customHeight="1">
      <c r="B53" s="13"/>
    </row>
    <row r="54" spans="1:6" ht="15.75" customHeight="1">
      <c r="B54" s="13"/>
    </row>
    <row r="55" spans="1:6" ht="15.75" customHeight="1">
      <c r="B55" s="13"/>
    </row>
    <row r="56" spans="1:6" ht="15.75" customHeight="1">
      <c r="B56" s="13"/>
    </row>
    <row r="57" spans="1:6" ht="15.75" customHeight="1">
      <c r="B57" s="13"/>
    </row>
    <row r="58" spans="1:6" ht="15.75" customHeight="1">
      <c r="B58" s="13"/>
    </row>
    <row r="59" spans="1:6" ht="15.75" customHeight="1">
      <c r="B59" s="13"/>
    </row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>
      <c r="A64" s="26"/>
      <c r="B64" s="26"/>
      <c r="C64" s="26"/>
      <c r="D64" s="26"/>
      <c r="E64" s="26"/>
      <c r="F64" s="26"/>
    </row>
    <row r="65" spans="1:6" ht="15.75" customHeight="1">
      <c r="A65" s="27"/>
      <c r="B65" s="28"/>
      <c r="C65" s="28"/>
      <c r="D65" s="29"/>
      <c r="E65" s="28"/>
      <c r="F65" s="28"/>
    </row>
    <row r="66" spans="1:6" ht="15.75" customHeight="1">
      <c r="A66" s="30"/>
      <c r="B66" s="31"/>
      <c r="C66" s="31"/>
      <c r="D66" s="27"/>
      <c r="E66" s="28"/>
      <c r="F66" s="28"/>
    </row>
    <row r="67" spans="1:6" ht="15.75" customHeight="1">
      <c r="A67" s="32"/>
      <c r="B67" s="33"/>
      <c r="C67" s="33"/>
      <c r="D67" s="27"/>
      <c r="E67" s="28"/>
      <c r="F67" s="28"/>
    </row>
    <row r="68" spans="1:6" ht="15.75" customHeight="1">
      <c r="D68" s="27"/>
      <c r="E68" s="28"/>
      <c r="F68" s="28"/>
    </row>
    <row r="69" spans="1:6" ht="15.75" customHeight="1">
      <c r="D69" s="30"/>
      <c r="E69" s="31"/>
      <c r="F69" s="31"/>
    </row>
    <row r="70" spans="1:6" ht="15.75" customHeight="1">
      <c r="D70" s="32"/>
      <c r="E70" s="33"/>
      <c r="F70" s="33"/>
    </row>
    <row r="71" spans="1:6" ht="15.75" customHeight="1"/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Cable_O.D.</vt:lpstr>
      <vt:lpstr>ei</vt:lpstr>
      <vt:lpstr>ex</vt:lpstr>
      <vt:lpstr>lambda</vt:lpstr>
      <vt:lpstr>Loss_tan.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Gary Rondeau</cp:lastModifiedBy>
  <dcterms:created xsi:type="dcterms:W3CDTF">2016-04-13T21:03:40Z</dcterms:created>
  <dcterms:modified xsi:type="dcterms:W3CDTF">2026-01-27T04:27:23Z</dcterms:modified>
</cp:coreProperties>
</file>